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holidays\intern\"/>
    </mc:Choice>
  </mc:AlternateContent>
  <xr:revisionPtr revIDLastSave="0" documentId="13_ncr:1_{3DE1E4AD-4101-46FE-AA5F-ABC8E9DA7536}" xr6:coauthVersionLast="47" xr6:coauthVersionMax="47" xr10:uidLastSave="{00000000-0000-0000-0000-000000000000}"/>
  <bookViews>
    <workbookView xWindow="-120" yWindow="-120" windowWidth="29040" windowHeight="15720" xr2:uid="{7A541DE2-1A4B-4898-AFC1-8684909DB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G35" i="1"/>
  <c r="G32" i="1"/>
  <c r="F39" i="1"/>
  <c r="F41" i="1"/>
  <c r="F35" i="1"/>
  <c r="F32" i="1"/>
  <c r="G30" i="1"/>
  <c r="G31" i="1" s="1"/>
  <c r="F30" i="1"/>
  <c r="F31" i="1" s="1"/>
  <c r="G22" i="1"/>
  <c r="G23" i="1" s="1"/>
  <c r="G33" i="1" s="1"/>
  <c r="F21" i="1"/>
  <c r="G21" i="1"/>
  <c r="G20" i="1"/>
  <c r="G15" i="1"/>
  <c r="G19" i="1" s="1"/>
  <c r="G14" i="1"/>
  <c r="G18" i="1" s="1"/>
  <c r="G10" i="1"/>
  <c r="G36" i="1" s="1"/>
  <c r="F20" i="1"/>
  <c r="F15" i="1"/>
  <c r="F17" i="1" s="1"/>
  <c r="F14" i="1"/>
  <c r="F18" i="1" s="1"/>
  <c r="F22" i="1" s="1"/>
  <c r="F23" i="1" s="1"/>
  <c r="F33" i="1" s="1"/>
  <c r="F10" i="1"/>
  <c r="F36" i="1" s="1"/>
  <c r="C22" i="1"/>
  <c r="C21" i="1"/>
  <c r="C20" i="1"/>
  <c r="C15" i="1"/>
  <c r="C19" i="1" s="1"/>
  <c r="C14" i="1"/>
  <c r="C18" i="1" s="1"/>
  <c r="C10" i="1"/>
  <c r="C23" i="1" s="1"/>
  <c r="B27" i="1"/>
  <c r="B30" i="1" s="1"/>
  <c r="B26" i="1"/>
  <c r="B10" i="1"/>
  <c r="B23" i="1" s="1"/>
  <c r="B21" i="1"/>
  <c r="B20" i="1"/>
  <c r="B17" i="1"/>
  <c r="B15" i="1"/>
  <c r="B19" i="1" s="1"/>
  <c r="B14" i="1"/>
  <c r="B16" i="1" s="1"/>
  <c r="C16" i="1" l="1"/>
  <c r="B18" i="1"/>
  <c r="C17" i="1"/>
  <c r="F19" i="1"/>
  <c r="G16" i="1"/>
  <c r="G17" i="1"/>
  <c r="F16" i="1"/>
  <c r="B22" i="1"/>
</calcChain>
</file>

<file path=xl/sharedStrings.xml><?xml version="1.0" encoding="utf-8"?>
<sst xmlns="http://schemas.openxmlformats.org/spreadsheetml/2006/main" count="77" uniqueCount="51">
  <si>
    <t>P(KN)</t>
  </si>
  <si>
    <t>M2(KNm)</t>
  </si>
  <si>
    <t>M3(KNm)</t>
  </si>
  <si>
    <t>Hs(m)</t>
  </si>
  <si>
    <t>Long beam depth(m)</t>
  </si>
  <si>
    <t>trans bram depth(m)</t>
  </si>
  <si>
    <t>unsup length Lo(x-x)</t>
  </si>
  <si>
    <t>unsup length Lo(y-y)</t>
  </si>
  <si>
    <t>slenderness ratio (x-x) /K</t>
  </si>
  <si>
    <t>slenderness ratio (y-y) /K</t>
  </si>
  <si>
    <t>e min (x-x), mm</t>
  </si>
  <si>
    <t>e min (y-y), mm</t>
  </si>
  <si>
    <t>0.05 * D</t>
  </si>
  <si>
    <t>0.05 * b</t>
  </si>
  <si>
    <t>fck(Mpa)</t>
  </si>
  <si>
    <t>fy(Mpa)</t>
  </si>
  <si>
    <t>Ag(mm2)</t>
  </si>
  <si>
    <t>column depth (cut by X-X), m(D)</t>
  </si>
  <si>
    <t>column width (cut by Y-Y), m(b)</t>
  </si>
  <si>
    <t>Asc reqd(mm2)</t>
  </si>
  <si>
    <t>Asc min(mm2)</t>
  </si>
  <si>
    <t>number of long bars, n</t>
  </si>
  <si>
    <t>Dia of long bars,d(mm)</t>
  </si>
  <si>
    <t>Asc prov (mm2)</t>
  </si>
  <si>
    <t>Dia of tie bars, dt(mm)</t>
  </si>
  <si>
    <t>spacing between tie bars(mm)</t>
  </si>
  <si>
    <t>nominal cover(mm)</t>
  </si>
  <si>
    <t>effective cover(mm)</t>
  </si>
  <si>
    <t>Column:</t>
  </si>
  <si>
    <t>C3(400x500)</t>
  </si>
  <si>
    <t>C2(400x400)</t>
  </si>
  <si>
    <t>C1(500x300)</t>
  </si>
  <si>
    <t>20 &amp; 12</t>
  </si>
  <si>
    <t>4-20 &amp; 2-12</t>
  </si>
  <si>
    <t>Axial Compression</t>
  </si>
  <si>
    <t>Pu * e min</t>
  </si>
  <si>
    <t>D(mm)</t>
  </si>
  <si>
    <t>assumed long bar dia(mm)</t>
  </si>
  <si>
    <t>assumed tie bar dia(mm)</t>
  </si>
  <si>
    <t>effective cover(mm), d'</t>
  </si>
  <si>
    <t>d'/D</t>
  </si>
  <si>
    <t>Pu/(fck*b*D)</t>
  </si>
  <si>
    <t>As per Sp-16(notations)</t>
  </si>
  <si>
    <t>Mdes/Mu</t>
  </si>
  <si>
    <t>Mu/(fck*b*D^2)</t>
  </si>
  <si>
    <t>b(mm)</t>
  </si>
  <si>
    <t>As=p*b*D/100</t>
  </si>
  <si>
    <t>As_max</t>
  </si>
  <si>
    <t>p/fck(from sp-16_chart-38)</t>
  </si>
  <si>
    <t>Axial Compression &amp; Uniaxial bending</t>
  </si>
  <si>
    <t>C1'(300x500)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</si>
</sst>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right"/>
    </xf>
    <xf numFmtId="0" fontId="2" fillId="3" borderId="1" xfId="2" applyBorder="1" applyAlignment="1">
      <alignment horizontal="right"/>
    </xf>
    <xf numFmtId="0" fontId="1" fillId="2" borderId="1" xfId="1" applyBorder="1" applyAlignment="1">
      <alignment horizontal="center"/>
    </xf>
    <xf numFmtId="0" fontId="1" fillId="2" borderId="1" xfId="1" applyBorder="1" applyAlignment="1">
      <alignment horizontal="right"/>
    </xf>
    <xf numFmtId="166" fontId="0" fillId="0" borderId="1" xfId="0" applyNumberFormat="1" applyBorder="1"/>
    <xf numFmtId="0" fontId="3" fillId="4" borderId="0" xfId="3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Border="1"/>
    <xf numFmtId="0" fontId="0" fillId="0" borderId="0" xfId="0" applyAlignment="1"/>
    <xf numFmtId="0" fontId="2" fillId="3" borderId="1" xfId="2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7B46-C6B6-42DA-9F07-443CDC96A986}">
  <dimension ref="A1:K42"/>
  <sheetViews>
    <sheetView tabSelected="1" topLeftCell="A25" zoomScale="209" zoomScaleNormal="85" workbookViewId="0">
      <selection activeCell="C30" sqref="C30"/>
    </sheetView>
  </sheetViews>
  <sheetFormatPr defaultRowHeight="15" x14ac:dyDescent="0.25"/>
  <cols>
    <col min="1" max="1" width="31.7109375" bestFit="1" customWidth="1"/>
    <col min="2" max="3" width="12.140625" bestFit="1" customWidth="1"/>
    <col min="4" max="4" width="3.140625" customWidth="1"/>
    <col min="5" max="5" width="30" bestFit="1" customWidth="1"/>
    <col min="6" max="7" width="13.42578125" bestFit="1" customWidth="1"/>
  </cols>
  <sheetData>
    <row r="1" spans="1:11" x14ac:dyDescent="0.25">
      <c r="A1" s="8" t="s">
        <v>34</v>
      </c>
      <c r="B1" s="8"/>
      <c r="C1" s="8"/>
      <c r="E1" s="17" t="s">
        <v>49</v>
      </c>
      <c r="F1" s="17"/>
      <c r="G1" s="17"/>
    </row>
    <row r="2" spans="1:11" x14ac:dyDescent="0.25">
      <c r="A2" s="13" t="s">
        <v>28</v>
      </c>
      <c r="B2" s="5" t="s">
        <v>29</v>
      </c>
      <c r="C2" s="5" t="s">
        <v>30</v>
      </c>
      <c r="E2" s="13" t="s">
        <v>28</v>
      </c>
      <c r="F2" s="5" t="s">
        <v>31</v>
      </c>
      <c r="G2" s="5" t="s">
        <v>50</v>
      </c>
    </row>
    <row r="3" spans="1:11" x14ac:dyDescent="0.25">
      <c r="A3" s="13" t="s">
        <v>0</v>
      </c>
      <c r="B3" s="3">
        <v>1624</v>
      </c>
      <c r="C3" s="3">
        <v>844</v>
      </c>
      <c r="E3" s="13" t="s">
        <v>0</v>
      </c>
      <c r="F3" s="3">
        <v>1064</v>
      </c>
      <c r="G3" s="3">
        <v>1332</v>
      </c>
    </row>
    <row r="4" spans="1:11" x14ac:dyDescent="0.25">
      <c r="A4" s="13" t="s">
        <v>1</v>
      </c>
      <c r="B4" s="3">
        <v>407</v>
      </c>
      <c r="C4" s="3">
        <v>256</v>
      </c>
      <c r="E4" s="13" t="s">
        <v>1</v>
      </c>
      <c r="F4" s="3">
        <v>269</v>
      </c>
      <c r="G4" s="3">
        <v>260</v>
      </c>
    </row>
    <row r="5" spans="1:11" x14ac:dyDescent="0.25">
      <c r="A5" s="13" t="s">
        <v>2</v>
      </c>
      <c r="B5" s="3">
        <v>179</v>
      </c>
      <c r="C5" s="3">
        <v>142</v>
      </c>
      <c r="E5" s="13" t="s">
        <v>2</v>
      </c>
      <c r="F5" s="3">
        <v>136</v>
      </c>
      <c r="G5" s="3">
        <v>144</v>
      </c>
    </row>
    <row r="6" spans="1:11" x14ac:dyDescent="0.25">
      <c r="A6" s="13" t="s">
        <v>14</v>
      </c>
      <c r="B6" s="3">
        <v>20</v>
      </c>
      <c r="C6" s="3">
        <v>20</v>
      </c>
      <c r="E6" s="13" t="s">
        <v>14</v>
      </c>
      <c r="F6" s="3">
        <v>40</v>
      </c>
      <c r="G6" s="3">
        <v>40</v>
      </c>
    </row>
    <row r="7" spans="1:11" x14ac:dyDescent="0.25">
      <c r="A7" s="13" t="s">
        <v>15</v>
      </c>
      <c r="B7" s="3">
        <v>415</v>
      </c>
      <c r="C7" s="3">
        <v>415</v>
      </c>
      <c r="E7" s="13" t="s">
        <v>15</v>
      </c>
      <c r="F7" s="3">
        <v>500</v>
      </c>
      <c r="G7" s="3">
        <v>500</v>
      </c>
      <c r="K7" s="12"/>
    </row>
    <row r="8" spans="1:11" x14ac:dyDescent="0.25">
      <c r="A8" s="13" t="s">
        <v>17</v>
      </c>
      <c r="B8" s="3">
        <v>0.5</v>
      </c>
      <c r="C8" s="3">
        <v>0.4</v>
      </c>
      <c r="E8" s="13" t="s">
        <v>17</v>
      </c>
      <c r="F8" s="3">
        <v>0.3</v>
      </c>
      <c r="G8" s="3">
        <v>0.5</v>
      </c>
    </row>
    <row r="9" spans="1:11" x14ac:dyDescent="0.25">
      <c r="A9" s="13" t="s">
        <v>18</v>
      </c>
      <c r="B9" s="3">
        <v>0.4</v>
      </c>
      <c r="C9" s="3">
        <v>0.4</v>
      </c>
      <c r="E9" s="13" t="s">
        <v>18</v>
      </c>
      <c r="F9" s="3">
        <v>0.5</v>
      </c>
      <c r="G9" s="3">
        <v>0.3</v>
      </c>
    </row>
    <row r="10" spans="1:11" x14ac:dyDescent="0.25">
      <c r="A10" s="13" t="s">
        <v>16</v>
      </c>
      <c r="B10" s="3">
        <f>B8*B9*10^6</f>
        <v>200000</v>
      </c>
      <c r="C10" s="3">
        <f>C8*C9*10^6</f>
        <v>160000.00000000003</v>
      </c>
      <c r="E10" s="13" t="s">
        <v>16</v>
      </c>
      <c r="F10" s="3">
        <f>F8*F9*10^6</f>
        <v>150000</v>
      </c>
      <c r="G10" s="3">
        <f>G8*G9*10^6</f>
        <v>150000</v>
      </c>
    </row>
    <row r="11" spans="1:11" x14ac:dyDescent="0.25">
      <c r="A11" s="13" t="s">
        <v>3</v>
      </c>
      <c r="B11" s="3">
        <v>3</v>
      </c>
      <c r="C11" s="3">
        <v>3</v>
      </c>
      <c r="E11" s="13" t="s">
        <v>3</v>
      </c>
      <c r="F11" s="3">
        <v>3</v>
      </c>
      <c r="G11" s="3">
        <v>3</v>
      </c>
    </row>
    <row r="12" spans="1:11" x14ac:dyDescent="0.25">
      <c r="A12" s="13" t="s">
        <v>4</v>
      </c>
      <c r="B12" s="3">
        <v>0.5</v>
      </c>
      <c r="C12" s="3">
        <v>0.5</v>
      </c>
      <c r="E12" s="13" t="s">
        <v>4</v>
      </c>
      <c r="F12" s="3">
        <v>0.5</v>
      </c>
      <c r="G12" s="3">
        <v>0.5</v>
      </c>
    </row>
    <row r="13" spans="1:11" x14ac:dyDescent="0.25">
      <c r="A13" s="13" t="s">
        <v>5</v>
      </c>
      <c r="B13" s="3">
        <v>0.6</v>
      </c>
      <c r="C13" s="3">
        <v>0.6</v>
      </c>
      <c r="E13" s="13" t="s">
        <v>5</v>
      </c>
      <c r="F13" s="3">
        <v>0.6</v>
      </c>
      <c r="G13" s="3">
        <v>0.6</v>
      </c>
    </row>
    <row r="14" spans="1:11" x14ac:dyDescent="0.25">
      <c r="A14" s="13" t="s">
        <v>6</v>
      </c>
      <c r="B14" s="3">
        <f>B11-B13</f>
        <v>2.4</v>
      </c>
      <c r="C14" s="3">
        <f>C11-C13</f>
        <v>2.4</v>
      </c>
      <c r="E14" s="13" t="s">
        <v>6</v>
      </c>
      <c r="F14" s="3">
        <f>F11-F13</f>
        <v>2.4</v>
      </c>
      <c r="G14" s="3">
        <f>G11-G13</f>
        <v>2.4</v>
      </c>
    </row>
    <row r="15" spans="1:11" x14ac:dyDescent="0.25">
      <c r="A15" s="13" t="s">
        <v>7</v>
      </c>
      <c r="B15" s="3">
        <f>B11-B12</f>
        <v>2.5</v>
      </c>
      <c r="C15" s="3">
        <f>C11-C12</f>
        <v>2.5</v>
      </c>
      <c r="E15" s="13" t="s">
        <v>7</v>
      </c>
      <c r="F15" s="3">
        <f>F11-F12</f>
        <v>2.5</v>
      </c>
      <c r="G15" s="3">
        <f>G11-G12</f>
        <v>2.5</v>
      </c>
    </row>
    <row r="16" spans="1:11" x14ac:dyDescent="0.25">
      <c r="A16" s="13" t="s">
        <v>8</v>
      </c>
      <c r="B16" s="3">
        <f>B14/B8</f>
        <v>4.8</v>
      </c>
      <c r="C16" s="3">
        <f>C14/C8</f>
        <v>5.9999999999999991</v>
      </c>
      <c r="E16" s="13" t="s">
        <v>8</v>
      </c>
      <c r="F16" s="3">
        <f>F14/F8</f>
        <v>8</v>
      </c>
      <c r="G16" s="3">
        <f>G14/G8</f>
        <v>4.8</v>
      </c>
    </row>
    <row r="17" spans="1:7" x14ac:dyDescent="0.25">
      <c r="A17" s="13" t="s">
        <v>9</v>
      </c>
      <c r="B17" s="3">
        <f>B15/B9</f>
        <v>6.25</v>
      </c>
      <c r="C17" s="3">
        <f>C15/C9</f>
        <v>6.25</v>
      </c>
      <c r="E17" s="13" t="s">
        <v>9</v>
      </c>
      <c r="F17" s="3">
        <f>F15/F9</f>
        <v>5</v>
      </c>
      <c r="G17" s="4">
        <f>G15/G9</f>
        <v>8.3333333333333339</v>
      </c>
    </row>
    <row r="18" spans="1:7" x14ac:dyDescent="0.25">
      <c r="A18" s="13" t="s">
        <v>10</v>
      </c>
      <c r="B18" s="4">
        <f>MAX(B14/0.5+B8/0.03,20)</f>
        <v>21.466666666666669</v>
      </c>
      <c r="C18" s="6">
        <f>MAX(C14/0.5+C8/0.03,20)</f>
        <v>20</v>
      </c>
      <c r="E18" s="13" t="s">
        <v>10</v>
      </c>
      <c r="F18" s="6">
        <f>MAX(F14/0.5+F8/0.03,20)</f>
        <v>20</v>
      </c>
      <c r="G18" s="4">
        <f>MAX(G14/0.5+G8/0.03,20)</f>
        <v>21.466666666666669</v>
      </c>
    </row>
    <row r="19" spans="1:7" x14ac:dyDescent="0.25">
      <c r="A19" s="13" t="s">
        <v>11</v>
      </c>
      <c r="B19" s="3">
        <f>MAX(B15/0.5+B9/0.03,20)</f>
        <v>20</v>
      </c>
      <c r="C19" s="3">
        <f>MAX(C15/0.5+C9/0.03,20)</f>
        <v>20</v>
      </c>
      <c r="E19" s="13" t="s">
        <v>11</v>
      </c>
      <c r="F19" s="4">
        <f>MAX(F15/0.5+F9/0.03,20)</f>
        <v>21.666666666666668</v>
      </c>
      <c r="G19" s="3">
        <f>MAX(G15/0.5+G9/0.03,20)</f>
        <v>20</v>
      </c>
    </row>
    <row r="20" spans="1:7" x14ac:dyDescent="0.25">
      <c r="A20" s="13" t="s">
        <v>12</v>
      </c>
      <c r="B20" s="9">
        <f>0.05*B8*1000</f>
        <v>25</v>
      </c>
      <c r="C20" s="9">
        <f>0.05*C8*1000</f>
        <v>20.000000000000004</v>
      </c>
      <c r="E20" s="13" t="s">
        <v>12</v>
      </c>
      <c r="F20" s="7">
        <f>0.05*F8*1000</f>
        <v>15</v>
      </c>
      <c r="G20" s="9">
        <f>0.05*G8*1000</f>
        <v>25</v>
      </c>
    </row>
    <row r="21" spans="1:7" x14ac:dyDescent="0.25">
      <c r="A21" s="13" t="s">
        <v>13</v>
      </c>
      <c r="B21" s="9">
        <f>0.05*B9*1000</f>
        <v>20.000000000000004</v>
      </c>
      <c r="C21" s="9">
        <f>0.05*C9*1000</f>
        <v>20.000000000000004</v>
      </c>
      <c r="E21" s="13" t="s">
        <v>13</v>
      </c>
      <c r="F21" s="9">
        <f>0.05*F9*1000</f>
        <v>25</v>
      </c>
      <c r="G21" s="7">
        <f>0.05*G9*1000</f>
        <v>15</v>
      </c>
    </row>
    <row r="22" spans="1:7" x14ac:dyDescent="0.25">
      <c r="A22" s="13" t="s">
        <v>19</v>
      </c>
      <c r="B22" s="4">
        <f>(B3*1000-0.4*B6*B10)/(0.67*B7-0.4*B6)</f>
        <v>88.872431031290503</v>
      </c>
      <c r="C22" s="4">
        <f>(C3*1000-0.4*C6*C10)/(0.67*C7-0.4*C6)</f>
        <v>-1614.5158304017782</v>
      </c>
      <c r="E22" s="13" t="s">
        <v>35</v>
      </c>
      <c r="F22" s="1">
        <f>F3*F18/1000</f>
        <v>21.28</v>
      </c>
      <c r="G22" s="1">
        <f>G3*G19/1000</f>
        <v>26.64</v>
      </c>
    </row>
    <row r="23" spans="1:7" x14ac:dyDescent="0.25">
      <c r="A23" s="13" t="s">
        <v>20</v>
      </c>
      <c r="B23" s="3">
        <f>0.008*B10</f>
        <v>1600</v>
      </c>
      <c r="C23" s="3">
        <f>0.008*C10</f>
        <v>1280.0000000000002</v>
      </c>
      <c r="E23" s="13" t="s">
        <v>43</v>
      </c>
      <c r="F23" s="1">
        <f>MAX(F22,F4)</f>
        <v>269</v>
      </c>
      <c r="G23" s="1">
        <f>MAX(G22,G5)</f>
        <v>144</v>
      </c>
    </row>
    <row r="24" spans="1:7" x14ac:dyDescent="0.25">
      <c r="A24" s="13" t="s">
        <v>21</v>
      </c>
      <c r="B24" s="3">
        <v>8</v>
      </c>
      <c r="C24" s="3" t="s">
        <v>33</v>
      </c>
      <c r="E24" s="11" t="s">
        <v>42</v>
      </c>
    </row>
    <row r="25" spans="1:7" x14ac:dyDescent="0.25">
      <c r="A25" s="13" t="s">
        <v>22</v>
      </c>
      <c r="B25" s="3">
        <v>16</v>
      </c>
      <c r="C25" s="3" t="s">
        <v>32</v>
      </c>
      <c r="E25" s="14" t="s">
        <v>45</v>
      </c>
      <c r="F25" s="1">
        <v>500</v>
      </c>
      <c r="G25" s="1">
        <v>500</v>
      </c>
    </row>
    <row r="26" spans="1:7" x14ac:dyDescent="0.25">
      <c r="A26" s="13" t="s">
        <v>23</v>
      </c>
      <c r="B26" s="3">
        <f>B24*3.14*B25^2/4</f>
        <v>1607.68</v>
      </c>
      <c r="C26" s="3">
        <v>1482.08</v>
      </c>
      <c r="E26" s="13" t="s">
        <v>36</v>
      </c>
      <c r="F26" s="1">
        <v>300</v>
      </c>
      <c r="G26" s="1">
        <v>300</v>
      </c>
    </row>
    <row r="27" spans="1:7" x14ac:dyDescent="0.25">
      <c r="A27" s="13" t="s">
        <v>24</v>
      </c>
      <c r="B27" s="3">
        <f>MAX(6,B25/4)</f>
        <v>6</v>
      </c>
      <c r="C27" s="3">
        <v>6</v>
      </c>
      <c r="E27" s="13" t="s">
        <v>37</v>
      </c>
      <c r="F27" s="1">
        <v>30</v>
      </c>
      <c r="G27" s="1">
        <v>16</v>
      </c>
    </row>
    <row r="28" spans="1:7" x14ac:dyDescent="0.25">
      <c r="A28" s="13" t="s">
        <v>25</v>
      </c>
      <c r="B28" s="3">
        <v>250</v>
      </c>
      <c r="C28" s="3">
        <v>300</v>
      </c>
      <c r="E28" s="13" t="s">
        <v>38</v>
      </c>
      <c r="F28" s="1">
        <v>8</v>
      </c>
      <c r="G28" s="1">
        <v>6</v>
      </c>
    </row>
    <row r="29" spans="1:7" x14ac:dyDescent="0.25">
      <c r="A29" s="13" t="s">
        <v>26</v>
      </c>
      <c r="B29" s="3">
        <v>40</v>
      </c>
      <c r="C29" s="3">
        <v>40</v>
      </c>
      <c r="E29" s="13" t="s">
        <v>26</v>
      </c>
      <c r="F29" s="1">
        <v>40</v>
      </c>
      <c r="G29" s="1">
        <v>40</v>
      </c>
    </row>
    <row r="30" spans="1:7" x14ac:dyDescent="0.25">
      <c r="A30" s="13" t="s">
        <v>27</v>
      </c>
      <c r="B30" s="3">
        <f>B29+B25/2+B27</f>
        <v>54</v>
      </c>
      <c r="C30" s="3">
        <v>56</v>
      </c>
      <c r="E30" s="13" t="s">
        <v>39</v>
      </c>
      <c r="F30" s="1">
        <f>SUM(F29,F28,F27/2)</f>
        <v>63</v>
      </c>
      <c r="G30" s="1">
        <f>SUM(G29,G28,G27/2)</f>
        <v>54</v>
      </c>
    </row>
    <row r="31" spans="1:7" x14ac:dyDescent="0.25">
      <c r="B31" s="16"/>
      <c r="C31" s="16"/>
      <c r="E31" s="14" t="s">
        <v>40</v>
      </c>
      <c r="F31" s="10">
        <f>F30/F26</f>
        <v>0.21</v>
      </c>
      <c r="G31" s="10">
        <f>G30/G26</f>
        <v>0.18</v>
      </c>
    </row>
    <row r="32" spans="1:7" x14ac:dyDescent="0.25">
      <c r="E32" s="14" t="s">
        <v>41</v>
      </c>
      <c r="F32" s="2">
        <f>(F3*1000)/(F6*F25*F26)</f>
        <v>0.17733333333333334</v>
      </c>
      <c r="G32" s="2">
        <f>(G3*1000)/(G6*G25*G26)</f>
        <v>0.222</v>
      </c>
    </row>
    <row r="33" spans="5:7" x14ac:dyDescent="0.25">
      <c r="E33" s="14" t="s">
        <v>44</v>
      </c>
      <c r="F33" s="2">
        <f>F23*10^6/(F6*F25*F26^2)</f>
        <v>0.14944444444444444</v>
      </c>
      <c r="G33" s="15">
        <f>G23*10^6/(G6*G25*G26^2)</f>
        <v>0.08</v>
      </c>
    </row>
    <row r="34" spans="5:7" x14ac:dyDescent="0.25">
      <c r="E34" s="14" t="s">
        <v>48</v>
      </c>
      <c r="F34" s="1">
        <v>0.09</v>
      </c>
      <c r="G34" s="1">
        <v>2.5000000000000001E-2</v>
      </c>
    </row>
    <row r="35" spans="5:7" x14ac:dyDescent="0.25">
      <c r="E35" s="14" t="s">
        <v>46</v>
      </c>
      <c r="F35" s="1">
        <f>F34*F6*F25*F26/100</f>
        <v>5399.9999999999991</v>
      </c>
      <c r="G35" s="1">
        <f>G34*G6*G25*G26/100</f>
        <v>1500</v>
      </c>
    </row>
    <row r="36" spans="5:7" x14ac:dyDescent="0.25">
      <c r="E36" s="14" t="s">
        <v>47</v>
      </c>
      <c r="F36" s="1">
        <f>0.04*F10</f>
        <v>6000</v>
      </c>
      <c r="G36" s="1">
        <f>0.04*G10</f>
        <v>6000</v>
      </c>
    </row>
    <row r="37" spans="5:7" x14ac:dyDescent="0.25">
      <c r="E37" s="13" t="s">
        <v>21</v>
      </c>
      <c r="F37" s="3">
        <v>8</v>
      </c>
      <c r="G37" s="3">
        <v>8</v>
      </c>
    </row>
    <row r="38" spans="5:7" x14ac:dyDescent="0.25">
      <c r="E38" s="13" t="s">
        <v>22</v>
      </c>
      <c r="F38" s="3">
        <v>30</v>
      </c>
      <c r="G38" s="3">
        <v>16</v>
      </c>
    </row>
    <row r="39" spans="5:7" x14ac:dyDescent="0.25">
      <c r="E39" s="13" t="s">
        <v>23</v>
      </c>
      <c r="F39" s="3">
        <f>F37*3.14*F38^2/4</f>
        <v>5652</v>
      </c>
      <c r="G39" s="3">
        <f>G37*3.14*G38^2/4</f>
        <v>1607.68</v>
      </c>
    </row>
    <row r="40" spans="5:7" x14ac:dyDescent="0.25">
      <c r="E40" s="13" t="s">
        <v>24</v>
      </c>
      <c r="F40" s="3">
        <v>8</v>
      </c>
      <c r="G40" s="3">
        <v>6</v>
      </c>
    </row>
    <row r="41" spans="5:7" x14ac:dyDescent="0.25">
      <c r="E41" s="13" t="s">
        <v>25</v>
      </c>
      <c r="F41" s="3">
        <f>MIN(16*F38,300)</f>
        <v>300</v>
      </c>
      <c r="G41" s="3">
        <v>250</v>
      </c>
    </row>
    <row r="42" spans="5:7" x14ac:dyDescent="0.25">
      <c r="E42" s="12"/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Violina Kashyap</dc:creator>
  <cp:lastModifiedBy>Violina Kashyap</cp:lastModifiedBy>
  <dcterms:created xsi:type="dcterms:W3CDTF">2024-09-30T14:07:55Z</dcterms:created>
  <dcterms:modified xsi:type="dcterms:W3CDTF">2024-09-30T21:55:37Z</dcterms:modified>
</cp:coreProperties>
</file>