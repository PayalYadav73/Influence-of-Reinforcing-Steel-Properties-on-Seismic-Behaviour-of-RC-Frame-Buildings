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holidays\intern\"/>
    </mc:Choice>
  </mc:AlternateContent>
  <xr:revisionPtr revIDLastSave="0" documentId="13_ncr:1_{B28EB52C-9C23-45EA-9B05-01716101CB1D}" xr6:coauthVersionLast="47" xr6:coauthVersionMax="47" xr10:uidLastSave="{00000000-0000-0000-0000-000000000000}"/>
  <bookViews>
    <workbookView xWindow="-120" yWindow="-120" windowWidth="29040" windowHeight="15720" xr2:uid="{B5288178-0FCE-4728-8072-D78F131CDD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C28" i="1"/>
  <c r="C20" i="1"/>
  <c r="J28" i="1"/>
  <c r="J24" i="1"/>
  <c r="K24" i="1" s="1"/>
  <c r="B28" i="1"/>
  <c r="B24" i="1"/>
  <c r="B20" i="1"/>
  <c r="A24" i="1"/>
  <c r="A20" i="1"/>
  <c r="C11" i="1"/>
  <c r="C10" i="1"/>
  <c r="C66" i="1"/>
  <c r="C67" i="1" s="1"/>
  <c r="C68" i="1" s="1"/>
  <c r="C69" i="1" s="1"/>
  <c r="C56" i="1"/>
  <c r="C57" i="1" s="1"/>
  <c r="D56" i="1"/>
  <c r="D55" i="1"/>
  <c r="E48" i="1"/>
  <c r="B40" i="1"/>
  <c r="B39" i="1"/>
  <c r="B36" i="1"/>
  <c r="B44" i="1" s="1"/>
  <c r="B48" i="1" s="1"/>
  <c r="I28" i="1"/>
  <c r="H28" i="1"/>
  <c r="F28" i="1"/>
  <c r="G28" i="1"/>
  <c r="G20" i="1"/>
  <c r="E28" i="1"/>
  <c r="I24" i="1"/>
  <c r="H24" i="1"/>
  <c r="G24" i="1"/>
  <c r="F24" i="1"/>
  <c r="E24" i="1"/>
  <c r="J20" i="1"/>
  <c r="I20" i="1"/>
  <c r="F20" i="1"/>
  <c r="E20" i="1"/>
  <c r="A28" i="1"/>
  <c r="B8" i="1"/>
  <c r="B7" i="1"/>
  <c r="D28" i="1" s="1"/>
  <c r="B6" i="1"/>
  <c r="B5" i="1"/>
  <c r="D24" i="1" s="1"/>
  <c r="M20" i="1" l="1"/>
  <c r="K20" i="1"/>
  <c r="L20" i="1" s="1"/>
  <c r="K28" i="1"/>
  <c r="L28" i="1" s="1"/>
  <c r="M28" i="1"/>
  <c r="N28" i="1" s="1"/>
  <c r="D20" i="1"/>
  <c r="C58" i="1"/>
  <c r="D57" i="1"/>
  <c r="C70" i="1"/>
  <c r="C24" i="1"/>
  <c r="B70" i="1" l="1"/>
  <c r="D70" i="1" s="1"/>
  <c r="N20" i="1"/>
  <c r="B65" i="1"/>
  <c r="D65" i="1" s="1"/>
  <c r="K32" i="1"/>
  <c r="C59" i="1"/>
  <c r="D58" i="1"/>
  <c r="M24" i="1"/>
  <c r="L24" i="1" l="1"/>
  <c r="B69" i="1"/>
  <c r="D69" i="1" s="1"/>
  <c r="B68" i="1"/>
  <c r="D68" i="1" s="1"/>
  <c r="N24" i="1"/>
  <c r="N32" i="1" s="1"/>
  <c r="B67" i="1"/>
  <c r="D67" i="1" s="1"/>
  <c r="B66" i="1"/>
  <c r="D66" i="1" s="1"/>
  <c r="M32" i="1"/>
  <c r="E49" i="1" s="1"/>
  <c r="C60" i="1"/>
  <c r="D60" i="1" s="1"/>
  <c r="D59" i="1"/>
  <c r="L32" i="1"/>
  <c r="B49" i="1"/>
  <c r="D71" i="1" l="1"/>
  <c r="D61" i="1"/>
  <c r="E55" i="1" l="1"/>
  <c r="F55" i="1" s="1"/>
  <c r="E56" i="1"/>
  <c r="F56" i="1" s="1"/>
  <c r="E57" i="1"/>
  <c r="F57" i="1" s="1"/>
  <c r="E58" i="1"/>
  <c r="E69" i="1"/>
  <c r="F69" i="1" s="1"/>
  <c r="E70" i="1"/>
  <c r="F70" i="1" s="1"/>
  <c r="E65" i="1"/>
  <c r="E67" i="1"/>
  <c r="F67" i="1" s="1"/>
  <c r="E68" i="1"/>
  <c r="F68" i="1" s="1"/>
  <c r="E66" i="1"/>
  <c r="F66" i="1" s="1"/>
  <c r="E59" i="1"/>
  <c r="F59" i="1" s="1"/>
  <c r="E60" i="1"/>
  <c r="F60" i="1" s="1"/>
  <c r="E61" i="1" l="1"/>
  <c r="F58" i="1"/>
  <c r="F61" i="1" s="1"/>
  <c r="F65" i="1"/>
  <c r="F71" i="1" s="1"/>
  <c r="E71" i="1"/>
</calcChain>
</file>

<file path=xl/sharedStrings.xml><?xml version="1.0" encoding="utf-8"?>
<sst xmlns="http://schemas.openxmlformats.org/spreadsheetml/2006/main" count="130" uniqueCount="87">
  <si>
    <t>Elements</t>
  </si>
  <si>
    <t>C1</t>
  </si>
  <si>
    <t>C2</t>
  </si>
  <si>
    <t>C3</t>
  </si>
  <si>
    <t>RB1,FB1</t>
  </si>
  <si>
    <t>RB2,FB2</t>
  </si>
  <si>
    <t>PB1</t>
  </si>
  <si>
    <t>PB2</t>
  </si>
  <si>
    <t>Slab</t>
  </si>
  <si>
    <t>Preliminary Data</t>
  </si>
  <si>
    <t>Total height(m)</t>
  </si>
  <si>
    <t>Specific weight_cc(KN/m^3)</t>
  </si>
  <si>
    <t>Specific weight_walls(KN/m^3)</t>
  </si>
  <si>
    <t>Base dimension( X )</t>
  </si>
  <si>
    <t>Base dimension( Y )</t>
  </si>
  <si>
    <t>Reduction Factor(R)</t>
  </si>
  <si>
    <t>Zone Factor(Z)</t>
  </si>
  <si>
    <t>Importance Factor</t>
  </si>
  <si>
    <t>Step 1: Calculation of lumped masses</t>
  </si>
  <si>
    <t>For Roof:</t>
  </si>
  <si>
    <t>RB2 (kN)</t>
  </si>
  <si>
    <t>RB1 (KN)</t>
  </si>
  <si>
    <t>Slab (KN)</t>
  </si>
  <si>
    <t>C1(KN)</t>
  </si>
  <si>
    <t>C2 (KN)</t>
  </si>
  <si>
    <t>C3 (KN)</t>
  </si>
  <si>
    <t>roof finish</t>
  </si>
  <si>
    <t>Roof finish(Mpa)</t>
  </si>
  <si>
    <t>Floor finish(Mpa)</t>
  </si>
  <si>
    <t>Roof LL(Mpa)</t>
  </si>
  <si>
    <t>Floor LL (Mpa)</t>
  </si>
  <si>
    <t>LL</t>
  </si>
  <si>
    <t>floor finish</t>
  </si>
  <si>
    <t>For floors(1,2,3,4):</t>
  </si>
  <si>
    <t>For ground floors:</t>
  </si>
  <si>
    <t>PB2 (kN)</t>
  </si>
  <si>
    <t>PB1 (KN)</t>
  </si>
  <si>
    <t>Total seismic weight W (W1+W2+W3+W4+Wg+Wr)</t>
  </si>
  <si>
    <t>KN</t>
  </si>
  <si>
    <t xml:space="preserve"> Tonnes</t>
  </si>
  <si>
    <t>Step 2: Fundamental time period</t>
  </si>
  <si>
    <t>For Bare RC MRF :</t>
  </si>
  <si>
    <t>Ta in s(0.09*h/sqrt (d))_along X</t>
  </si>
  <si>
    <t>Ta in s(0.09*h/sqrt (d))_along Y</t>
  </si>
  <si>
    <t>For other buildings(except RC walls):</t>
  </si>
  <si>
    <t>Step 3: Determination of design base shear</t>
  </si>
  <si>
    <t xml:space="preserve"> for 0.55 &lt; T &lt; 4</t>
  </si>
  <si>
    <t>Sa/g</t>
  </si>
  <si>
    <t xml:space="preserve"> for &lt;0.55(same along X and Y)</t>
  </si>
  <si>
    <t>Vb</t>
  </si>
  <si>
    <t>Ah</t>
  </si>
  <si>
    <t xml:space="preserve"> Without Infill</t>
  </si>
  <si>
    <t>With Infill</t>
  </si>
  <si>
    <t>Step 4: Vertical distribution of base shear</t>
  </si>
  <si>
    <t>Range</t>
  </si>
  <si>
    <t>Storey  level</t>
  </si>
  <si>
    <t>W(KN)</t>
  </si>
  <si>
    <t>Hi( m)</t>
  </si>
  <si>
    <t>Wi x Hi^2</t>
  </si>
  <si>
    <t>ELx or Ely</t>
  </si>
  <si>
    <t>Ground</t>
  </si>
  <si>
    <t>1st floor</t>
  </si>
  <si>
    <t>2nd floor</t>
  </si>
  <si>
    <t>3rd floor</t>
  </si>
  <si>
    <t xml:space="preserve">4th floor </t>
  </si>
  <si>
    <t>roof</t>
  </si>
  <si>
    <t xml:space="preserve">Without walls </t>
  </si>
  <si>
    <t xml:space="preserve">With walls </t>
  </si>
  <si>
    <t>Wr(KN)</t>
  </si>
  <si>
    <t>Wr(tones)</t>
  </si>
  <si>
    <t>Wf(KN)</t>
  </si>
  <si>
    <t>Wf(tones)</t>
  </si>
  <si>
    <t>Wg(tones)</t>
  </si>
  <si>
    <t>Wg(KN)</t>
  </si>
  <si>
    <t>summation</t>
  </si>
  <si>
    <t>(Wi x Hi^2)/(sum(Wi x hi^2))</t>
  </si>
  <si>
    <t>numbers</t>
  </si>
  <si>
    <t>Column1</t>
  </si>
  <si>
    <t>Height/Length(mm)</t>
  </si>
  <si>
    <t>Depth(mm)</t>
  </si>
  <si>
    <t>Width(mm)</t>
  </si>
  <si>
    <t>Without infill walls</t>
  </si>
  <si>
    <t>With infill walls</t>
  </si>
  <si>
    <t>Ta in sec(0.075 * h^0.75)</t>
  </si>
  <si>
    <t>Infill walls(External)</t>
  </si>
  <si>
    <t>Infill walls(Ixternal)</t>
  </si>
  <si>
    <t>Infill walls(Internal)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</si>
</sst>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8"/>
      <color theme="1"/>
      <name val="Times New Roman"/>
      <family val="1"/>
    </font>
    <font>
      <sz val="12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A767E9-9B70-4607-B4FA-4411EC156CB2}" name="Table1" displayName="Table1" ref="A1:D11" totalsRowShown="0" headerRowDxfId="15" dataDxfId="13" headerRowBorderDxfId="14" tableBorderDxfId="12" totalsRowBorderDxfId="11">
  <autoFilter ref="A1:D11" xr:uid="{44A767E9-9B70-4607-B4FA-4411EC156CB2}"/>
  <tableColumns count="4">
    <tableColumn id="1" xr3:uid="{D4AA09C2-38D8-4554-BF1F-A4D5A5C920F4}" name="Elements" dataDxfId="10"/>
    <tableColumn id="2" xr3:uid="{52245ACE-42A9-436C-A830-1562509583D9}" name="Height/Length(mm)" dataDxfId="9"/>
    <tableColumn id="3" xr3:uid="{B4593123-1CC1-4B35-9165-F067250529C9}" name="Depth(mm)" dataDxfId="8"/>
    <tableColumn id="4" xr3:uid="{2DE29C6D-2C35-42DD-9A8B-97F27597B5E2}" name="Width(mm)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2CEBDA-63DD-4AFD-9D0E-D338BD2DBD32}" name="Table2" displayName="Table2" ref="G1:H13" totalsRowShown="0" headerRowDxfId="6" dataDxfId="4" headerRowBorderDxfId="5" tableBorderDxfId="3" totalsRowBorderDxfId="2">
  <autoFilter ref="G1:H13" xr:uid="{322CEBDA-63DD-4AFD-9D0E-D338BD2DBD32}"/>
  <tableColumns count="2">
    <tableColumn id="1" xr3:uid="{58D468F0-93A4-4EAD-9E1A-0F59976918C0}" name="Preliminary Data" dataDxfId="1"/>
    <tableColumn id="2" xr3:uid="{B0859B7A-2C29-4407-9D7C-5626118976D7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404E-7760-494B-9311-6205C8E278C7}">
  <dimension ref="A1:N71"/>
  <sheetViews>
    <sheetView tabSelected="1" zoomScale="106" zoomScaleNormal="105" workbookViewId="0">
      <selection activeCell="F55" sqref="F55"/>
    </sheetView>
  </sheetViews>
  <sheetFormatPr defaultRowHeight="15" x14ac:dyDescent="0.25"/>
  <cols>
    <col min="1" max="1" width="33.5703125" bestFit="1" customWidth="1"/>
    <col min="2" max="2" width="25.140625" bestFit="1" customWidth="1"/>
    <col min="3" max="3" width="19.7109375" customWidth="1"/>
    <col min="4" max="4" width="21.42578125" customWidth="1"/>
    <col min="5" max="5" width="25.85546875" bestFit="1" customWidth="1"/>
    <col min="6" max="6" width="17.28515625" customWidth="1"/>
    <col min="7" max="7" width="29.140625" bestFit="1" customWidth="1"/>
    <col min="8" max="8" width="12.42578125" customWidth="1"/>
    <col min="9" max="9" width="11.140625" customWidth="1"/>
    <col min="10" max="10" width="10.42578125" customWidth="1"/>
    <col min="11" max="11" width="10.28515625" bestFit="1" customWidth="1"/>
    <col min="12" max="12" width="11" bestFit="1" customWidth="1"/>
    <col min="13" max="13" width="10.28515625" bestFit="1" customWidth="1"/>
  </cols>
  <sheetData>
    <row r="1" spans="1:11" ht="15.75" x14ac:dyDescent="0.25">
      <c r="A1" s="2" t="s">
        <v>0</v>
      </c>
      <c r="B1" s="3" t="s">
        <v>78</v>
      </c>
      <c r="C1" s="3" t="s">
        <v>79</v>
      </c>
      <c r="D1" s="4" t="s">
        <v>80</v>
      </c>
      <c r="E1" s="5" t="s">
        <v>76</v>
      </c>
      <c r="F1" s="6"/>
      <c r="G1" s="2" t="s">
        <v>9</v>
      </c>
      <c r="H1" s="4" t="s">
        <v>77</v>
      </c>
      <c r="I1" s="1"/>
      <c r="J1" s="1"/>
      <c r="K1" s="1"/>
    </row>
    <row r="2" spans="1:11" ht="15.75" x14ac:dyDescent="0.25">
      <c r="A2" s="7" t="s">
        <v>1</v>
      </c>
      <c r="B2" s="8">
        <v>3000</v>
      </c>
      <c r="C2" s="8">
        <v>300</v>
      </c>
      <c r="D2" s="9">
        <v>500</v>
      </c>
      <c r="E2" s="10">
        <v>10</v>
      </c>
      <c r="F2" s="6"/>
      <c r="G2" s="7" t="s">
        <v>10</v>
      </c>
      <c r="H2" s="9">
        <v>16.5</v>
      </c>
    </row>
    <row r="3" spans="1:11" ht="15.75" x14ac:dyDescent="0.25">
      <c r="A3" s="7" t="s">
        <v>2</v>
      </c>
      <c r="B3" s="8">
        <v>3000</v>
      </c>
      <c r="C3" s="8">
        <v>400</v>
      </c>
      <c r="D3" s="9">
        <v>400</v>
      </c>
      <c r="E3" s="5">
        <v>4</v>
      </c>
      <c r="F3" s="6"/>
      <c r="G3" s="7" t="s">
        <v>11</v>
      </c>
      <c r="H3" s="9">
        <v>25</v>
      </c>
    </row>
    <row r="4" spans="1:11" ht="15.75" x14ac:dyDescent="0.25">
      <c r="A4" s="7" t="s">
        <v>3</v>
      </c>
      <c r="B4" s="8">
        <v>3000</v>
      </c>
      <c r="C4" s="8">
        <v>400</v>
      </c>
      <c r="D4" s="9">
        <v>500</v>
      </c>
      <c r="E4" s="11">
        <v>4</v>
      </c>
      <c r="F4" s="6"/>
      <c r="G4" s="7" t="s">
        <v>12</v>
      </c>
      <c r="H4" s="9">
        <v>20</v>
      </c>
    </row>
    <row r="5" spans="1:11" ht="15.75" x14ac:dyDescent="0.25">
      <c r="A5" s="7" t="s">
        <v>4</v>
      </c>
      <c r="B5" s="8">
        <f>10*6*1000</f>
        <v>60000</v>
      </c>
      <c r="C5" s="8">
        <v>300</v>
      </c>
      <c r="D5" s="9">
        <v>600</v>
      </c>
      <c r="E5" s="6"/>
      <c r="F5" s="6"/>
      <c r="G5" s="7" t="s">
        <v>13</v>
      </c>
      <c r="H5" s="9">
        <v>19</v>
      </c>
    </row>
    <row r="6" spans="1:11" ht="15.75" x14ac:dyDescent="0.25">
      <c r="A6" s="7" t="s">
        <v>5</v>
      </c>
      <c r="B6" s="8">
        <f>19*3*1000</f>
        <v>57000</v>
      </c>
      <c r="C6" s="8">
        <v>300</v>
      </c>
      <c r="D6" s="9">
        <v>500</v>
      </c>
      <c r="E6" s="6"/>
      <c r="F6" s="6"/>
      <c r="G6" s="7" t="s">
        <v>14</v>
      </c>
      <c r="H6" s="9">
        <v>10</v>
      </c>
    </row>
    <row r="7" spans="1:11" ht="15.75" x14ac:dyDescent="0.25">
      <c r="A7" s="7" t="s">
        <v>6</v>
      </c>
      <c r="B7" s="8">
        <f>10*6*1000</f>
        <v>60000</v>
      </c>
      <c r="C7" s="8">
        <v>300</v>
      </c>
      <c r="D7" s="9">
        <v>400</v>
      </c>
      <c r="E7" s="6"/>
      <c r="F7" s="6"/>
      <c r="G7" s="7" t="s">
        <v>15</v>
      </c>
      <c r="H7" s="9">
        <v>5</v>
      </c>
    </row>
    <row r="8" spans="1:11" ht="15.75" x14ac:dyDescent="0.25">
      <c r="A8" s="7" t="s">
        <v>7</v>
      </c>
      <c r="B8" s="8">
        <f>19*3*1000</f>
        <v>57000</v>
      </c>
      <c r="C8" s="8">
        <v>300</v>
      </c>
      <c r="D8" s="9">
        <v>350</v>
      </c>
      <c r="E8" s="6"/>
      <c r="F8" s="6"/>
      <c r="G8" s="7" t="s">
        <v>16</v>
      </c>
      <c r="H8" s="9">
        <v>0.36</v>
      </c>
    </row>
    <row r="9" spans="1:11" ht="15.75" x14ac:dyDescent="0.25">
      <c r="A9" s="7" t="s">
        <v>8</v>
      </c>
      <c r="B9" s="8">
        <v>125</v>
      </c>
      <c r="C9" s="8">
        <v>19000</v>
      </c>
      <c r="D9" s="9">
        <v>10000</v>
      </c>
      <c r="E9" s="6"/>
      <c r="F9" s="6"/>
      <c r="G9" s="7" t="s">
        <v>17</v>
      </c>
      <c r="H9" s="9">
        <v>1</v>
      </c>
    </row>
    <row r="10" spans="1:11" ht="15.75" x14ac:dyDescent="0.25">
      <c r="A10" s="12" t="s">
        <v>84</v>
      </c>
      <c r="B10" s="13">
        <v>3000</v>
      </c>
      <c r="C10" s="13">
        <f>19*2*1000+10*2*1000</f>
        <v>58000</v>
      </c>
      <c r="D10" s="14">
        <v>250</v>
      </c>
      <c r="E10" s="6"/>
      <c r="F10" s="6"/>
      <c r="G10" s="7" t="s">
        <v>27</v>
      </c>
      <c r="H10" s="9">
        <v>1</v>
      </c>
    </row>
    <row r="11" spans="1:11" ht="15.75" x14ac:dyDescent="0.25">
      <c r="A11" s="12" t="s">
        <v>85</v>
      </c>
      <c r="B11" s="13">
        <v>3000</v>
      </c>
      <c r="C11" s="13">
        <f>19*1000+10*4*1000</f>
        <v>59000</v>
      </c>
      <c r="D11" s="14">
        <v>125</v>
      </c>
      <c r="E11" s="6"/>
      <c r="F11" s="6"/>
      <c r="G11" s="7" t="s">
        <v>28</v>
      </c>
      <c r="H11" s="9">
        <v>1</v>
      </c>
    </row>
    <row r="12" spans="1:11" ht="15.75" x14ac:dyDescent="0.25">
      <c r="A12" s="6"/>
      <c r="B12" s="6"/>
      <c r="C12" s="6"/>
      <c r="D12" s="6"/>
      <c r="E12" s="6"/>
      <c r="F12" s="6"/>
      <c r="G12" s="7" t="s">
        <v>29</v>
      </c>
      <c r="H12" s="9">
        <v>1.5</v>
      </c>
    </row>
    <row r="13" spans="1:11" ht="15.75" x14ac:dyDescent="0.25">
      <c r="A13" s="6"/>
      <c r="B13" s="6"/>
      <c r="C13" s="6"/>
      <c r="D13" s="6"/>
      <c r="E13" s="6"/>
      <c r="F13" s="6"/>
      <c r="G13" s="12" t="s">
        <v>30</v>
      </c>
      <c r="H13" s="14">
        <v>3</v>
      </c>
    </row>
    <row r="16" spans="1:11" ht="23.25" x14ac:dyDescent="0.35">
      <c r="A16" s="26" t="s">
        <v>18</v>
      </c>
      <c r="B16" s="26"/>
      <c r="C16" s="26"/>
    </row>
    <row r="18" spans="1:14" ht="18.75" x14ac:dyDescent="0.3">
      <c r="A18" s="17" t="s">
        <v>19</v>
      </c>
      <c r="K18" s="23" t="s">
        <v>66</v>
      </c>
      <c r="L18" s="23"/>
      <c r="M18" s="23" t="s">
        <v>67</v>
      </c>
      <c r="N18" s="23"/>
    </row>
    <row r="19" spans="1:14" ht="15.75" x14ac:dyDescent="0.25">
      <c r="A19" s="8" t="s">
        <v>84</v>
      </c>
      <c r="B19" s="22" t="s">
        <v>86</v>
      </c>
      <c r="C19" s="8" t="s">
        <v>20</v>
      </c>
      <c r="D19" s="8" t="s">
        <v>21</v>
      </c>
      <c r="E19" s="8" t="s">
        <v>22</v>
      </c>
      <c r="F19" s="8" t="s">
        <v>23</v>
      </c>
      <c r="G19" s="8" t="s">
        <v>24</v>
      </c>
      <c r="H19" s="8" t="s">
        <v>25</v>
      </c>
      <c r="I19" s="8" t="s">
        <v>26</v>
      </c>
      <c r="J19" s="8" t="s">
        <v>31</v>
      </c>
      <c r="K19" s="8" t="s">
        <v>68</v>
      </c>
      <c r="L19" s="8" t="s">
        <v>69</v>
      </c>
      <c r="M19" s="8" t="s">
        <v>68</v>
      </c>
      <c r="N19" s="8" t="s">
        <v>69</v>
      </c>
    </row>
    <row r="20" spans="1:14" ht="15.75" x14ac:dyDescent="0.25">
      <c r="A20" s="8">
        <f>PRODUCT(C10,D10,H4)*B10/(2*10^9)</f>
        <v>435</v>
      </c>
      <c r="B20" s="22">
        <f>PRODUCT(C11,D11,H4)*B11/(2*10^9)</f>
        <v>221.25</v>
      </c>
      <c r="C20" s="8">
        <f>PRODUCT(H3,B6:D6)/(10^9)</f>
        <v>213.75</v>
      </c>
      <c r="D20" s="8">
        <f>PRODUCT(B5:D5,H3)/10^9</f>
        <v>270</v>
      </c>
      <c r="E20" s="8">
        <f>PRODUCT(B9:D9,H3)/10^9</f>
        <v>593.75</v>
      </c>
      <c r="F20" s="8">
        <f>PRODUCT(C2:E2,H3)*B2/(2*10^9)</f>
        <v>56.25</v>
      </c>
      <c r="G20" s="8">
        <f>PRODUCT(C3:E3,H3)*B3/(2*10^9)</f>
        <v>24</v>
      </c>
      <c r="H20" s="8">
        <f>PRODUCT(C4:E4,H3)*B4/(2*10^9)</f>
        <v>30</v>
      </c>
      <c r="I20" s="8">
        <f>PRODUCT(H10,H5,H6)</f>
        <v>190</v>
      </c>
      <c r="J20" s="8">
        <f>(0*H12)</f>
        <v>0</v>
      </c>
      <c r="K20" s="8">
        <f>SUM(C20:J20)</f>
        <v>1377.75</v>
      </c>
      <c r="L20" s="15">
        <f>K20/9.81</f>
        <v>140.4434250764526</v>
      </c>
      <c r="M20" s="8">
        <f>SUM(A20:J20)</f>
        <v>2034</v>
      </c>
      <c r="N20" s="15">
        <f>M20/9.81</f>
        <v>207.33944954128438</v>
      </c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4" ht="18.75" x14ac:dyDescent="0.3">
      <c r="A22" s="17" t="s">
        <v>33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4" ht="15.75" x14ac:dyDescent="0.25">
      <c r="A23" s="8" t="s">
        <v>84</v>
      </c>
      <c r="B23" s="22" t="s">
        <v>86</v>
      </c>
      <c r="C23" s="8" t="s">
        <v>20</v>
      </c>
      <c r="D23" s="8" t="s">
        <v>21</v>
      </c>
      <c r="E23" s="8" t="s">
        <v>22</v>
      </c>
      <c r="F23" s="8" t="s">
        <v>23</v>
      </c>
      <c r="G23" s="8" t="s">
        <v>24</v>
      </c>
      <c r="H23" s="8" t="s">
        <v>25</v>
      </c>
      <c r="I23" s="8" t="s">
        <v>32</v>
      </c>
      <c r="J23" s="8" t="s">
        <v>31</v>
      </c>
      <c r="K23" s="8" t="s">
        <v>70</v>
      </c>
      <c r="L23" s="8" t="s">
        <v>71</v>
      </c>
      <c r="M23" s="8" t="s">
        <v>70</v>
      </c>
      <c r="N23" s="8" t="s">
        <v>71</v>
      </c>
    </row>
    <row r="24" spans="1:14" ht="15.75" x14ac:dyDescent="0.25">
      <c r="A24" s="8">
        <f>PRODUCT(C10:D10,H4)*B10/(10^9)</f>
        <v>870</v>
      </c>
      <c r="B24" s="22">
        <f>PRODUCT(C11,D11,H4)*B11/(10^9)</f>
        <v>442.5</v>
      </c>
      <c r="C24" s="8">
        <f>PRODUCT(H3,B6:D6)/10^9</f>
        <v>213.75</v>
      </c>
      <c r="D24" s="8">
        <f>PRODUCT(B5:D5,H3)/10^9</f>
        <v>270</v>
      </c>
      <c r="E24" s="8">
        <f>PRODUCT(B9:D9,H3)/10^9</f>
        <v>593.75</v>
      </c>
      <c r="F24" s="8">
        <f>PRODUCT(C2:E2,H3)*B2/(10^9)</f>
        <v>112.5</v>
      </c>
      <c r="G24" s="8">
        <f>PRODUCT(C3:E3,H3)*B3/(10^9)</f>
        <v>48</v>
      </c>
      <c r="H24" s="8">
        <f>PRODUCT(C4:E4,H3)*B4/(10^9)</f>
        <v>60</v>
      </c>
      <c r="I24" s="8">
        <f>PRODUCT(H5:H6,H10)</f>
        <v>190</v>
      </c>
      <c r="J24" s="8">
        <f>PRODUCT(H5:H6)*0.25*H13</f>
        <v>142.5</v>
      </c>
      <c r="K24" s="8">
        <f>SUM(C24:J24)</f>
        <v>1630.5</v>
      </c>
      <c r="L24" s="15">
        <f>K24/9.81</f>
        <v>166.20795107033638</v>
      </c>
      <c r="M24" s="8">
        <f>SUM(A24:J24)</f>
        <v>2943</v>
      </c>
      <c r="N24" s="15">
        <f>M24/9.81</f>
        <v>300</v>
      </c>
    </row>
    <row r="25" spans="1:14" ht="15.75" x14ac:dyDescent="0.25">
      <c r="A25" s="1"/>
      <c r="B25" s="10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4" ht="18.75" x14ac:dyDescent="0.3">
      <c r="A26" s="17" t="s">
        <v>34</v>
      </c>
      <c r="B26" s="1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4" ht="15.75" x14ac:dyDescent="0.25">
      <c r="A27" s="8" t="s">
        <v>84</v>
      </c>
      <c r="B27" s="22" t="s">
        <v>86</v>
      </c>
      <c r="C27" s="8" t="s">
        <v>35</v>
      </c>
      <c r="D27" s="8" t="s">
        <v>36</v>
      </c>
      <c r="E27" s="8" t="s">
        <v>22</v>
      </c>
      <c r="F27" s="8" t="s">
        <v>23</v>
      </c>
      <c r="G27" s="8" t="s">
        <v>24</v>
      </c>
      <c r="H27" s="8" t="s">
        <v>25</v>
      </c>
      <c r="I27" s="8" t="s">
        <v>32</v>
      </c>
      <c r="J27" s="8" t="s">
        <v>31</v>
      </c>
      <c r="K27" s="8" t="s">
        <v>73</v>
      </c>
      <c r="L27" s="8" t="s">
        <v>72</v>
      </c>
      <c r="M27" s="8" t="s">
        <v>73</v>
      </c>
      <c r="N27" s="8" t="s">
        <v>72</v>
      </c>
    </row>
    <row r="28" spans="1:14" ht="15.75" x14ac:dyDescent="0.25">
      <c r="A28" s="8">
        <f>PRODUCT(C10:D10,H4)*2250/10^9</f>
        <v>652.5</v>
      </c>
      <c r="B28" s="22">
        <f>PRODUCT(C11,D11,H4)*2250/(10^9)</f>
        <v>331.875</v>
      </c>
      <c r="C28" s="8">
        <f>PRODUCT(B8:D8,H3)/10^9</f>
        <v>149.625</v>
      </c>
      <c r="D28" s="8">
        <f>PRODUCT(B7:D7,H3)/10^9</f>
        <v>180</v>
      </c>
      <c r="E28" s="8">
        <f>PRODUCT(B9:D9,H3)/10^9</f>
        <v>593.75</v>
      </c>
      <c r="F28" s="8">
        <f>PRODUCT(C2:E2,H3)*2250/10^9</f>
        <v>84.375</v>
      </c>
      <c r="G28" s="8">
        <f>PRODUCT(C3:D3,H3,E3)*2250/10^9</f>
        <v>36</v>
      </c>
      <c r="H28" s="8">
        <f>PRODUCT(C4:E4,H3)*2250/10^9</f>
        <v>45</v>
      </c>
      <c r="I28" s="8">
        <f>PRODUCT(H5:H6,H10)</f>
        <v>190</v>
      </c>
      <c r="J28" s="8">
        <f>PRODUCT(H5:H6)*0.25*H13</f>
        <v>142.5</v>
      </c>
      <c r="K28" s="8">
        <f>SUM(C28:J28)</f>
        <v>1421.25</v>
      </c>
      <c r="L28" s="15">
        <f>K28/9.81</f>
        <v>144.87767584097858</v>
      </c>
      <c r="M28" s="8">
        <f>SUM(A28:J28)</f>
        <v>2405.625</v>
      </c>
      <c r="N28" s="15">
        <f>M28/9.81</f>
        <v>245.22171253822629</v>
      </c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4" ht="18.75" x14ac:dyDescent="0.3">
      <c r="A30" s="1"/>
      <c r="B30" s="1"/>
      <c r="C30" s="1"/>
      <c r="D30" s="1"/>
      <c r="E30" s="1"/>
      <c r="F30" s="1"/>
      <c r="G30" s="1"/>
      <c r="H30" s="1"/>
      <c r="I30" s="1"/>
      <c r="K30" s="24" t="s">
        <v>66</v>
      </c>
      <c r="L30" s="24"/>
      <c r="M30" s="24" t="s">
        <v>67</v>
      </c>
      <c r="N30" s="24"/>
    </row>
    <row r="31" spans="1:14" ht="15.75" x14ac:dyDescent="0.25">
      <c r="A31" s="1"/>
      <c r="B31" s="1"/>
      <c r="C31" s="1"/>
      <c r="D31" s="1"/>
      <c r="E31" s="1"/>
      <c r="F31" s="1"/>
      <c r="G31" s="10"/>
      <c r="H31" s="10"/>
      <c r="I31" s="10"/>
      <c r="K31" s="10" t="s">
        <v>38</v>
      </c>
      <c r="L31" s="10" t="s">
        <v>39</v>
      </c>
      <c r="M31" s="10" t="s">
        <v>38</v>
      </c>
      <c r="N31" s="10" t="s">
        <v>39</v>
      </c>
    </row>
    <row r="32" spans="1:14" ht="15.75" x14ac:dyDescent="0.25">
      <c r="A32" s="1"/>
      <c r="B32" s="1"/>
      <c r="C32" s="1"/>
      <c r="D32" s="1"/>
      <c r="E32" s="1"/>
      <c r="F32" s="1"/>
      <c r="G32" s="27" t="s">
        <v>37</v>
      </c>
      <c r="H32" s="27"/>
      <c r="I32" s="27"/>
      <c r="J32" s="27"/>
      <c r="K32" s="10">
        <f>SUM(K20,K28)+4*K24</f>
        <v>9321</v>
      </c>
      <c r="L32" s="16">
        <f>K32/9.81</f>
        <v>950.15290519877669</v>
      </c>
      <c r="M32" s="10">
        <f>SUM(M20,M24,M24,M24,M24,M28)</f>
        <v>16211.625</v>
      </c>
      <c r="N32" s="16">
        <f>SUM(N20,N24,N24,N24,N24,N28)</f>
        <v>1652.5611620795107</v>
      </c>
    </row>
    <row r="33" spans="1:5" ht="23.25" x14ac:dyDescent="0.35">
      <c r="A33" s="26" t="s">
        <v>40</v>
      </c>
      <c r="B33" s="31"/>
      <c r="C33" s="31"/>
    </row>
    <row r="35" spans="1:5" ht="18.75" x14ac:dyDescent="0.3">
      <c r="A35" s="18" t="s">
        <v>41</v>
      </c>
    </row>
    <row r="36" spans="1:5" ht="15.75" x14ac:dyDescent="0.25">
      <c r="A36" s="10" t="s">
        <v>83</v>
      </c>
      <c r="B36" s="10">
        <f>0.075*H2^0.75</f>
        <v>0.61400827129211988</v>
      </c>
    </row>
    <row r="38" spans="1:5" ht="18.75" x14ac:dyDescent="0.3">
      <c r="A38" s="18" t="s">
        <v>44</v>
      </c>
    </row>
    <row r="39" spans="1:5" ht="15.75" x14ac:dyDescent="0.25">
      <c r="A39" s="10" t="s">
        <v>42</v>
      </c>
      <c r="B39" s="10">
        <f>0.09*H2/SQRT(H5)</f>
        <v>0.34068236479778419</v>
      </c>
    </row>
    <row r="40" spans="1:5" ht="15.75" x14ac:dyDescent="0.25">
      <c r="A40" s="10" t="s">
        <v>43</v>
      </c>
      <c r="B40" s="10">
        <f>0.09*H2/SQRT(H6)</f>
        <v>0.46959823253500427</v>
      </c>
    </row>
    <row r="42" spans="1:5" ht="23.25" x14ac:dyDescent="0.35">
      <c r="A42" s="26" t="s">
        <v>45</v>
      </c>
      <c r="B42" s="31"/>
      <c r="C42" s="31"/>
    </row>
    <row r="43" spans="1:5" ht="18.75" x14ac:dyDescent="0.3">
      <c r="A43" s="20" t="s">
        <v>54</v>
      </c>
      <c r="B43" s="19" t="s">
        <v>47</v>
      </c>
    </row>
    <row r="44" spans="1:5" ht="15.75" x14ac:dyDescent="0.25">
      <c r="A44" s="10" t="s">
        <v>46</v>
      </c>
      <c r="B44" s="10">
        <f>1.36/B36</f>
        <v>2.2149538753574349</v>
      </c>
    </row>
    <row r="45" spans="1:5" ht="15.75" x14ac:dyDescent="0.25">
      <c r="A45" s="10" t="s">
        <v>48</v>
      </c>
      <c r="B45" s="10">
        <v>2.5</v>
      </c>
    </row>
    <row r="47" spans="1:5" ht="18.75" x14ac:dyDescent="0.3">
      <c r="A47" s="32" t="s">
        <v>51</v>
      </c>
      <c r="B47" s="32"/>
      <c r="C47" s="1"/>
      <c r="D47" s="32" t="s">
        <v>52</v>
      </c>
      <c r="E47" s="32"/>
    </row>
    <row r="48" spans="1:5" ht="15.75" x14ac:dyDescent="0.25">
      <c r="A48" s="8" t="s">
        <v>50</v>
      </c>
      <c r="B48" s="8">
        <f>PRODUCT(H8,H9,B44)/(2*H7)</f>
        <v>7.9738339512867656E-2</v>
      </c>
      <c r="C48" s="10"/>
      <c r="D48" s="8" t="s">
        <v>50</v>
      </c>
      <c r="E48" s="8">
        <f>PRODUCT(B45,H9,H8)/(2*H7)</f>
        <v>0.09</v>
      </c>
    </row>
    <row r="49" spans="1:6" ht="15.75" x14ac:dyDescent="0.25">
      <c r="A49" s="8" t="s">
        <v>49</v>
      </c>
      <c r="B49" s="8">
        <f>B48*K32</f>
        <v>743.24106259943937</v>
      </c>
      <c r="C49" s="10"/>
      <c r="D49" s="8" t="s">
        <v>49</v>
      </c>
      <c r="E49" s="8">
        <f>E48*M32</f>
        <v>1459.0462499999999</v>
      </c>
    </row>
    <row r="50" spans="1:6" ht="15.75" x14ac:dyDescent="0.25">
      <c r="A50" s="6"/>
      <c r="B50" s="6"/>
      <c r="C50" s="6"/>
      <c r="D50" s="6"/>
      <c r="E50" s="6"/>
    </row>
    <row r="51" spans="1:6" ht="23.25" x14ac:dyDescent="0.35">
      <c r="A51" s="26" t="s">
        <v>53</v>
      </c>
      <c r="B51" s="26"/>
      <c r="C51" s="26"/>
    </row>
    <row r="53" spans="1:6" ht="18.75" x14ac:dyDescent="0.3">
      <c r="B53" s="23" t="s">
        <v>81</v>
      </c>
      <c r="C53" s="25"/>
      <c r="D53" s="25"/>
    </row>
    <row r="54" spans="1:6" ht="15.75" x14ac:dyDescent="0.25">
      <c r="A54" s="21" t="s">
        <v>55</v>
      </c>
      <c r="B54" s="21" t="s">
        <v>56</v>
      </c>
      <c r="C54" s="21" t="s">
        <v>57</v>
      </c>
      <c r="D54" s="21" t="s">
        <v>58</v>
      </c>
      <c r="E54" s="21" t="s">
        <v>75</v>
      </c>
      <c r="F54" s="21" t="s">
        <v>59</v>
      </c>
    </row>
    <row r="55" spans="1:6" ht="15.75" x14ac:dyDescent="0.25">
      <c r="A55" s="8" t="s">
        <v>60</v>
      </c>
      <c r="B55" s="8">
        <v>1706.25</v>
      </c>
      <c r="C55" s="8">
        <v>1.5</v>
      </c>
      <c r="D55" s="8">
        <f>(B55*C55^2)</f>
        <v>3839.0625</v>
      </c>
      <c r="E55" s="8">
        <f>(D55/D61)</f>
        <v>3.5358590505557906E-3</v>
      </c>
      <c r="F55" s="21">
        <f>(E55*B49)</f>
        <v>2.6279956379369307</v>
      </c>
    </row>
    <row r="56" spans="1:6" ht="15.75" x14ac:dyDescent="0.25">
      <c r="A56" s="8" t="s">
        <v>61</v>
      </c>
      <c r="B56" s="8">
        <v>1915.5</v>
      </c>
      <c r="C56" s="8">
        <f>C55+3</f>
        <v>4.5</v>
      </c>
      <c r="D56" s="8">
        <f>(B56*C56^2)</f>
        <v>38788.875</v>
      </c>
      <c r="E56" s="8">
        <f>(D56/D61)</f>
        <v>3.5725387312560614E-2</v>
      </c>
      <c r="F56" s="21">
        <f>(E56*B49)</f>
        <v>26.552574827964079</v>
      </c>
    </row>
    <row r="57" spans="1:6" ht="15.75" x14ac:dyDescent="0.25">
      <c r="A57" s="8" t="s">
        <v>62</v>
      </c>
      <c r="B57" s="8">
        <v>1915.5</v>
      </c>
      <c r="C57" s="8">
        <f t="shared" ref="C57:C60" si="0">C56+3</f>
        <v>7.5</v>
      </c>
      <c r="D57" s="8">
        <f t="shared" ref="D57:D59" si="1">(B57*C57^2)</f>
        <v>107746.875</v>
      </c>
      <c r="E57" s="8">
        <f>(D57/D61)</f>
        <v>9.9237186979335035E-2</v>
      </c>
      <c r="F57" s="21">
        <f>(E57*B49)</f>
        <v>73.757152299900227</v>
      </c>
    </row>
    <row r="58" spans="1:6" ht="15.75" x14ac:dyDescent="0.25">
      <c r="A58" s="8" t="s">
        <v>63</v>
      </c>
      <c r="B58" s="8">
        <v>1915.5</v>
      </c>
      <c r="C58" s="8">
        <f t="shared" si="0"/>
        <v>10.5</v>
      </c>
      <c r="D58" s="8">
        <f t="shared" si="1"/>
        <v>211183.875</v>
      </c>
      <c r="E58" s="8">
        <f>(D58/D61)</f>
        <v>0.19450488647949668</v>
      </c>
      <c r="F58" s="21">
        <f>E58*B49</f>
        <v>144.56401850780443</v>
      </c>
    </row>
    <row r="59" spans="1:6" ht="15.75" x14ac:dyDescent="0.25">
      <c r="A59" s="8" t="s">
        <v>64</v>
      </c>
      <c r="B59" s="8">
        <v>1915.5</v>
      </c>
      <c r="C59" s="8">
        <f t="shared" si="0"/>
        <v>13.5</v>
      </c>
      <c r="D59" s="8">
        <f t="shared" si="1"/>
        <v>349099.875</v>
      </c>
      <c r="E59" s="8">
        <f>(D59/D61)</f>
        <v>0.32152848581304555</v>
      </c>
      <c r="F59" s="21">
        <f>E59*B49</f>
        <v>238.97317345167673</v>
      </c>
    </row>
    <row r="60" spans="1:6" ht="15.75" x14ac:dyDescent="0.25">
      <c r="A60" s="8" t="s">
        <v>65</v>
      </c>
      <c r="B60" s="8">
        <v>1377.75</v>
      </c>
      <c r="C60" s="8">
        <f t="shared" si="0"/>
        <v>16.5</v>
      </c>
      <c r="D60" s="8">
        <f>(B60*C60^2)</f>
        <v>375092.4375</v>
      </c>
      <c r="E60" s="8">
        <f>(D60/D61)</f>
        <v>0.34546819436500636</v>
      </c>
      <c r="F60" s="21">
        <f>E60*B49</f>
        <v>256.76614787415696</v>
      </c>
    </row>
    <row r="61" spans="1:6" ht="15.75" x14ac:dyDescent="0.25">
      <c r="A61" s="28" t="s">
        <v>74</v>
      </c>
      <c r="B61" s="29"/>
      <c r="C61" s="30"/>
      <c r="D61" s="8">
        <f>SUM(D55:D60)</f>
        <v>1085751</v>
      </c>
      <c r="E61" s="8">
        <f>SUM(E55:E60)</f>
        <v>1</v>
      </c>
      <c r="F61" s="8">
        <f>SUM(F55:F60)</f>
        <v>743.24106259943937</v>
      </c>
    </row>
    <row r="63" spans="1:6" ht="18.75" x14ac:dyDescent="0.3">
      <c r="B63" s="24" t="s">
        <v>82</v>
      </c>
      <c r="C63" s="24"/>
      <c r="D63" s="24"/>
    </row>
    <row r="64" spans="1:6" ht="15.75" x14ac:dyDescent="0.25">
      <c r="A64" s="21" t="s">
        <v>55</v>
      </c>
      <c r="B64" s="21" t="s">
        <v>56</v>
      </c>
      <c r="C64" s="21" t="s">
        <v>57</v>
      </c>
      <c r="D64" s="21" t="s">
        <v>58</v>
      </c>
      <c r="E64" s="21" t="s">
        <v>75</v>
      </c>
      <c r="F64" s="21" t="s">
        <v>59</v>
      </c>
    </row>
    <row r="65" spans="1:6" ht="15.75" x14ac:dyDescent="0.25">
      <c r="A65" s="8" t="s">
        <v>60</v>
      </c>
      <c r="B65" s="8">
        <f>M20</f>
        <v>2034</v>
      </c>
      <c r="C65" s="8">
        <v>1.5</v>
      </c>
      <c r="D65" s="8">
        <f>(B65*C65^2)</f>
        <v>4576.5</v>
      </c>
      <c r="E65" s="8">
        <f>(D65/D71)</f>
        <v>2.6219225401711501E-3</v>
      </c>
      <c r="F65" s="21">
        <f>E65*E49</f>
        <v>3.8255062500271904</v>
      </c>
    </row>
    <row r="66" spans="1:6" ht="15.75" x14ac:dyDescent="0.25">
      <c r="A66" s="8" t="s">
        <v>61</v>
      </c>
      <c r="B66" s="8">
        <f>M24</f>
        <v>2943</v>
      </c>
      <c r="C66" s="8">
        <f>C65+3</f>
        <v>4.5</v>
      </c>
      <c r="D66" s="8">
        <f>(B66*C66^2)</f>
        <v>59595.75</v>
      </c>
      <c r="E66" s="8">
        <f>(D66/D71)</f>
        <v>3.4143000158069446E-2</v>
      </c>
      <c r="F66" s="21">
        <f>E66*E49</f>
        <v>49.816216344380628</v>
      </c>
    </row>
    <row r="67" spans="1:6" ht="15.75" x14ac:dyDescent="0.25">
      <c r="A67" s="8" t="s">
        <v>62</v>
      </c>
      <c r="B67" s="8">
        <f>M24</f>
        <v>2943</v>
      </c>
      <c r="C67" s="8">
        <f t="shared" ref="C67:C70" si="2">C66+3</f>
        <v>7.5</v>
      </c>
      <c r="D67" s="8">
        <f t="shared" ref="D67:D69" si="3">(B67*C67^2)</f>
        <v>165543.75</v>
      </c>
      <c r="E67" s="8">
        <f>(D67/D71)</f>
        <v>9.4841667105748456E-2</v>
      </c>
      <c r="F67" s="21">
        <f>E67*E49</f>
        <v>138.37837873439062</v>
      </c>
    </row>
    <row r="68" spans="1:6" ht="15.75" x14ac:dyDescent="0.25">
      <c r="A68" s="8" t="s">
        <v>63</v>
      </c>
      <c r="B68" s="8">
        <f>M24</f>
        <v>2943</v>
      </c>
      <c r="C68" s="8">
        <f t="shared" si="2"/>
        <v>10.5</v>
      </c>
      <c r="D68" s="8">
        <f t="shared" si="3"/>
        <v>324465.75</v>
      </c>
      <c r="E68" s="8">
        <f>(D68/D71)</f>
        <v>0.18588966752726699</v>
      </c>
      <c r="F68" s="21">
        <f>E68*E49</f>
        <v>271.22162231940564</v>
      </c>
    </row>
    <row r="69" spans="1:6" ht="15.75" x14ac:dyDescent="0.25">
      <c r="A69" s="8" t="s">
        <v>64</v>
      </c>
      <c r="B69" s="8">
        <f>M24</f>
        <v>2943</v>
      </c>
      <c r="C69" s="8">
        <f t="shared" si="2"/>
        <v>13.5</v>
      </c>
      <c r="D69" s="8">
        <f t="shared" si="3"/>
        <v>536361.75</v>
      </c>
      <c r="E69" s="8">
        <f>(D69/D71)</f>
        <v>0.30728700142262499</v>
      </c>
      <c r="F69" s="21">
        <f>E69*E49</f>
        <v>448.34594709942564</v>
      </c>
    </row>
    <row r="70" spans="1:6" ht="15.75" x14ac:dyDescent="0.25">
      <c r="A70" s="8" t="s">
        <v>65</v>
      </c>
      <c r="B70" s="8">
        <f>M28</f>
        <v>2405.625</v>
      </c>
      <c r="C70" s="8">
        <f t="shared" si="2"/>
        <v>16.5</v>
      </c>
      <c r="D70" s="8">
        <f>(B70*C70^2)</f>
        <v>654931.40625</v>
      </c>
      <c r="E70" s="8">
        <f>(D70/D71)</f>
        <v>0.37521674124611898</v>
      </c>
      <c r="F70" s="21">
        <f>E70*E49</f>
        <v>547.45857925237021</v>
      </c>
    </row>
    <row r="71" spans="1:6" ht="15.75" x14ac:dyDescent="0.25">
      <c r="A71" s="28" t="s">
        <v>74</v>
      </c>
      <c r="B71" s="29"/>
      <c r="C71" s="30"/>
      <c r="D71" s="8">
        <f>SUM(D65:D70)</f>
        <v>1745474.90625</v>
      </c>
      <c r="E71" s="8">
        <f>SUM(E65:E70)</f>
        <v>1</v>
      </c>
      <c r="F71" s="8">
        <f>SUM(F65:F70)</f>
        <v>1459.0462499999999</v>
      </c>
    </row>
  </sheetData>
  <mergeCells count="15">
    <mergeCell ref="A16:C16"/>
    <mergeCell ref="G32:J32"/>
    <mergeCell ref="B63:D63"/>
    <mergeCell ref="A71:C71"/>
    <mergeCell ref="A61:C61"/>
    <mergeCell ref="A33:C33"/>
    <mergeCell ref="A42:C42"/>
    <mergeCell ref="A47:B47"/>
    <mergeCell ref="D47:E47"/>
    <mergeCell ref="A51:C51"/>
    <mergeCell ref="K18:L18"/>
    <mergeCell ref="M18:N18"/>
    <mergeCell ref="K30:L30"/>
    <mergeCell ref="M30:N30"/>
    <mergeCell ref="B53:D53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Violina Kashyap</dc:creator>
  <cp:lastModifiedBy>Violina Kashyap</cp:lastModifiedBy>
  <dcterms:created xsi:type="dcterms:W3CDTF">2024-06-23T10:25:53Z</dcterms:created>
  <dcterms:modified xsi:type="dcterms:W3CDTF">2024-08-06T13:45:22Z</dcterms:modified>
</cp:coreProperties>
</file>